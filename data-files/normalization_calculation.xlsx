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zl01/Desktop/projects/BMS/BMS-RT001/RNASeq_workshop2025/data-files/"/>
    </mc:Choice>
  </mc:AlternateContent>
  <xr:revisionPtr revIDLastSave="0" documentId="13_ncr:1_{EDF9A148-C933-0F48-BE5D-0F7FEDDA7E65}" xr6:coauthVersionLast="47" xr6:coauthVersionMax="47" xr10:uidLastSave="{00000000-0000-0000-0000-000000000000}"/>
  <bookViews>
    <workbookView xWindow="31820" yWindow="2260" windowWidth="46420" windowHeight="21460" xr2:uid="{9848C682-EAB9-F648-81B2-68A6DE4F6A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2" i="1"/>
  <c r="L3" i="1"/>
  <c r="L4" i="1"/>
  <c r="L2" i="1"/>
  <c r="E3" i="1"/>
  <c r="H3" i="1" s="1"/>
  <c r="E4" i="1"/>
  <c r="I4" i="1" s="1"/>
  <c r="E2" i="1"/>
  <c r="I2" i="1" s="1"/>
  <c r="I3" i="1" l="1"/>
  <c r="I7" i="1" s="1"/>
  <c r="H2" i="1"/>
  <c r="H4" i="1"/>
  <c r="H7" i="1" l="1"/>
</calcChain>
</file>

<file path=xl/sharedStrings.xml><?xml version="1.0" encoding="utf-8"?>
<sst xmlns="http://schemas.openxmlformats.org/spreadsheetml/2006/main" count="39" uniqueCount="35">
  <si>
    <t>Synonym</t>
  </si>
  <si>
    <t>PA14_00010</t>
  </si>
  <si>
    <t>PA14_00020</t>
  </si>
  <si>
    <t>PA14_00030</t>
  </si>
  <si>
    <t>sqrt(1326*336)</t>
  </si>
  <si>
    <t>row-wise geometric mean</t>
  </si>
  <si>
    <t>sqrt(1335*63)</t>
  </si>
  <si>
    <t>sqrt(769*26)</t>
  </si>
  <si>
    <t>row-wise geometric mean (reference)</t>
  </si>
  <si>
    <t>1326/667</t>
  </si>
  <si>
    <t>336/667</t>
  </si>
  <si>
    <t>1335/290</t>
  </si>
  <si>
    <t>63/290</t>
  </si>
  <si>
    <t>wt-1 ratio of sample/reference</t>
  </si>
  <si>
    <t>wt-2 ratio of sample/reference</t>
  </si>
  <si>
    <t>769/141</t>
  </si>
  <si>
    <t>26/141</t>
  </si>
  <si>
    <t>size factor wt-1</t>
  </si>
  <si>
    <t>size factor wt-2</t>
  </si>
  <si>
    <t>median(1.9,4.6,5.4)</t>
  </si>
  <si>
    <t>median(0.5,0.21,0.18)</t>
  </si>
  <si>
    <t>wt-1 normalized counts</t>
  </si>
  <si>
    <t>wt-2 normalized counts</t>
  </si>
  <si>
    <t>1326/4.6</t>
  </si>
  <si>
    <t>1335/4.6</t>
  </si>
  <si>
    <t>769/4.6</t>
  </si>
  <si>
    <t>Similarly, outliers shouldn't affect the median value, therefore size factors should be close to 1.</t>
  </si>
  <si>
    <t>The assumption is not all genes are differentially expressed, therefore outliers shouldn't influence median of ratio values within a sample.</t>
  </si>
  <si>
    <t>If these were your real size factors for your entire dataset, you might have extreme outliers.</t>
  </si>
  <si>
    <t>But in our case both values deviate quite a bit because our sample size (n=3) is small.</t>
  </si>
  <si>
    <t>wt-1 read counts</t>
  </si>
  <si>
    <t>wt-2 read counts</t>
  </si>
  <si>
    <t>336/0.22</t>
  </si>
  <si>
    <t>63/0.22</t>
  </si>
  <si>
    <t>26/0.22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</si>
</sst>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horizontal="center" wrapText="1"/>
    </xf>
    <xf numFmtId="164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 wrapText="1"/>
    </xf>
    <xf numFmtId="0" fontId="0" fillId="5" borderId="0" xfId="0" applyFill="1" applyAlignment="1">
      <alignment horizontal="center" wrapText="1"/>
    </xf>
    <xf numFmtId="0" fontId="0" fillId="5" borderId="0" xfId="0" applyFill="1" applyAlignment="1">
      <alignment horizontal="center"/>
    </xf>
    <xf numFmtId="0" fontId="0" fillId="3" borderId="0" xfId="0" applyFill="1" applyAlignment="1">
      <alignment horizontal="center"/>
    </xf>
    <xf numFmtId="2" fontId="0" fillId="3" borderId="0" xfId="0" applyNumberFormat="1" applyFill="1" applyAlignment="1">
      <alignment horizontal="center"/>
    </xf>
    <xf numFmtId="0" fontId="0" fillId="4" borderId="0" xfId="0" applyFill="1" applyAlignment="1">
      <alignment horizontal="center" wrapText="1"/>
    </xf>
    <xf numFmtId="0" fontId="0" fillId="4" borderId="0" xfId="0" applyFill="1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5" borderId="0" xfId="0" applyFill="1" applyAlignment="1">
      <alignment horizontal="center" wrapText="1" shrinkToFit="1"/>
    </xf>
    <xf numFmtId="1" fontId="0" fillId="5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53EE8-AEE7-D24B-8FDB-7074D8CBA076}">
  <dimension ref="A1:M15"/>
  <sheetViews>
    <sheetView tabSelected="1" zoomScale="174" zoomScaleNormal="174" workbookViewId="0">
      <selection activeCell="J12" sqref="J12"/>
    </sheetView>
  </sheetViews>
  <sheetFormatPr baseColWidth="10" defaultRowHeight="16" x14ac:dyDescent="0.2"/>
  <cols>
    <col min="4" max="4" width="14.6640625" customWidth="1"/>
    <col min="5" max="5" width="15.33203125" customWidth="1"/>
    <col min="6" max="6" width="15.6640625" customWidth="1"/>
    <col min="7" max="7" width="16.33203125" customWidth="1"/>
    <col min="8" max="8" width="17.6640625" customWidth="1"/>
    <col min="9" max="9" width="18.33203125" customWidth="1"/>
    <col min="10" max="10" width="19.6640625" customWidth="1"/>
    <col min="11" max="12" width="20.1640625" customWidth="1"/>
    <col min="13" max="13" width="21.1640625" customWidth="1"/>
  </cols>
  <sheetData>
    <row r="1" spans="1:13" ht="51" x14ac:dyDescent="0.2">
      <c r="A1" s="1" t="s">
        <v>0</v>
      </c>
      <c r="B1" s="5" t="s">
        <v>30</v>
      </c>
      <c r="C1" s="5" t="s">
        <v>31</v>
      </c>
      <c r="D1" s="2" t="s">
        <v>5</v>
      </c>
      <c r="E1" s="2" t="s">
        <v>8</v>
      </c>
      <c r="F1" s="7" t="s">
        <v>13</v>
      </c>
      <c r="G1" s="7" t="s">
        <v>14</v>
      </c>
      <c r="H1" s="7" t="s">
        <v>13</v>
      </c>
      <c r="I1" s="7" t="s">
        <v>14</v>
      </c>
      <c r="J1" s="8" t="s">
        <v>21</v>
      </c>
      <c r="K1" s="9" t="s">
        <v>22</v>
      </c>
      <c r="L1" s="9" t="s">
        <v>21</v>
      </c>
      <c r="M1" s="16" t="s">
        <v>22</v>
      </c>
    </row>
    <row r="2" spans="1:13" x14ac:dyDescent="0.2">
      <c r="A2" t="s">
        <v>1</v>
      </c>
      <c r="B2" s="6">
        <v>1326</v>
      </c>
      <c r="C2" s="6">
        <v>336</v>
      </c>
      <c r="D2" s="4" t="s">
        <v>4</v>
      </c>
      <c r="E2" s="3">
        <f>SQRT(B2*C2)</f>
        <v>667.4848312883222</v>
      </c>
      <c r="F2" s="10" t="s">
        <v>9</v>
      </c>
      <c r="G2" s="10" t="s">
        <v>10</v>
      </c>
      <c r="H2" s="11">
        <f>B2/E2</f>
        <v>1.9865619978819116</v>
      </c>
      <c r="I2" s="11">
        <f>C2/E2</f>
        <v>0.50338222570763369</v>
      </c>
      <c r="J2" s="9" t="s">
        <v>23</v>
      </c>
      <c r="K2" s="9" t="s">
        <v>32</v>
      </c>
      <c r="L2" s="17">
        <f>B2/4.6</f>
        <v>288.26086956521743</v>
      </c>
      <c r="M2" s="17">
        <f>C2/0.22</f>
        <v>1527.2727272727273</v>
      </c>
    </row>
    <row r="3" spans="1:13" x14ac:dyDescent="0.2">
      <c r="A3" t="s">
        <v>2</v>
      </c>
      <c r="B3" s="6">
        <v>1335</v>
      </c>
      <c r="C3" s="6">
        <v>63</v>
      </c>
      <c r="D3" s="4" t="s">
        <v>6</v>
      </c>
      <c r="E3" s="3">
        <f t="shared" ref="E3:E4" si="0">SQRT(B3*C3)</f>
        <v>290.00862056152744</v>
      </c>
      <c r="F3" s="10" t="s">
        <v>11</v>
      </c>
      <c r="G3" s="10" t="s">
        <v>12</v>
      </c>
      <c r="H3" s="11">
        <f>B3/E3</f>
        <v>4.603311437484563</v>
      </c>
      <c r="I3" s="11">
        <f>C3/E3</f>
        <v>0.21723492176893441</v>
      </c>
      <c r="J3" s="9" t="s">
        <v>24</v>
      </c>
      <c r="K3" s="9" t="s">
        <v>33</v>
      </c>
      <c r="L3" s="17">
        <f t="shared" ref="L3:L4" si="1">B3/4.6</f>
        <v>290.21739130434787</v>
      </c>
      <c r="M3" s="17">
        <f t="shared" ref="M3:M4" si="2">C3/0.22</f>
        <v>286.36363636363637</v>
      </c>
    </row>
    <row r="4" spans="1:13" x14ac:dyDescent="0.2">
      <c r="A4" t="s">
        <v>3</v>
      </c>
      <c r="B4" s="6">
        <v>769</v>
      </c>
      <c r="C4" s="6">
        <v>26</v>
      </c>
      <c r="D4" s="4" t="s">
        <v>7</v>
      </c>
      <c r="E4" s="3">
        <f t="shared" si="0"/>
        <v>141.40014144264495</v>
      </c>
      <c r="F4" s="10" t="s">
        <v>15</v>
      </c>
      <c r="G4" s="10" t="s">
        <v>16</v>
      </c>
      <c r="H4" s="11">
        <f>B4/E4</f>
        <v>5.4384669785632678</v>
      </c>
      <c r="I4" s="11">
        <f>C4/E4</f>
        <v>0.18387534647938228</v>
      </c>
      <c r="J4" s="9" t="s">
        <v>25</v>
      </c>
      <c r="K4" s="9" t="s">
        <v>34</v>
      </c>
      <c r="L4" s="17">
        <f t="shared" si="1"/>
        <v>167.17391304347828</v>
      </c>
      <c r="M4" s="17">
        <f t="shared" si="2"/>
        <v>118.18181818181819</v>
      </c>
    </row>
    <row r="5" spans="1:13" ht="17" x14ac:dyDescent="0.2">
      <c r="H5" s="12" t="s">
        <v>17</v>
      </c>
      <c r="I5" s="13" t="s">
        <v>18</v>
      </c>
    </row>
    <row r="6" spans="1:13" x14ac:dyDescent="0.2">
      <c r="H6" s="13" t="s">
        <v>19</v>
      </c>
      <c r="I6" s="13" t="s">
        <v>20</v>
      </c>
    </row>
    <row r="7" spans="1:13" x14ac:dyDescent="0.2">
      <c r="H7" s="14">
        <f>MEDIAN(H2:H4)</f>
        <v>4.603311437484563</v>
      </c>
      <c r="I7" s="15">
        <f>MEDIAN(I2:I4)</f>
        <v>0.21723492176893441</v>
      </c>
    </row>
    <row r="12" spans="1:13" x14ac:dyDescent="0.2">
      <c r="A12" t="s">
        <v>27</v>
      </c>
    </row>
    <row r="13" spans="1:13" x14ac:dyDescent="0.2">
      <c r="A13" t="s">
        <v>26</v>
      </c>
    </row>
    <row r="14" spans="1:13" x14ac:dyDescent="0.2">
      <c r="A14" t="s">
        <v>29</v>
      </c>
    </row>
    <row r="15" spans="1:13" x14ac:dyDescent="0.2">
      <c r="A15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Lasek-Nesselquist, Erica (HEALTH)</dc:creator>
  <cp:lastModifiedBy>Lasek-Nesselquist, Erica (HEALTH)</cp:lastModifiedBy>
  <dcterms:created xsi:type="dcterms:W3CDTF">2026-01-28T19:50:10Z</dcterms:created>
  <dcterms:modified xsi:type="dcterms:W3CDTF">2026-01-29T14:32:28Z</dcterms:modified>
</cp:coreProperties>
</file>